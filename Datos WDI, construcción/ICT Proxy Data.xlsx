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bruno\Desktop\Python Tesis\"/>
    </mc:Choice>
  </mc:AlternateContent>
  <xr:revisionPtr revIDLastSave="0" documentId="8_{209C0474-BF8E-4190-943B-72457B66AF38}" xr6:coauthVersionLast="47" xr6:coauthVersionMax="47" xr10:uidLastSave="{00000000-0000-0000-0000-000000000000}"/>
  <bookViews>
    <workbookView xWindow="-120" yWindow="-120" windowWidth="29040" windowHeight="1584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R2" i="1"/>
  <c r="G2" i="1"/>
  <c r="S2" i="1" s="1"/>
  <c r="Q2" i="1"/>
  <c r="P2" i="1"/>
</calcChain>
</file>

<file path=xl/sharedStrings.xml><?xml version="1.0" encoding="utf-8"?>
<sst xmlns="http://schemas.openxmlformats.org/spreadsheetml/2006/main" count="278" uniqueCount="144">
  <si>
    <t>BM.GSR.MRCH.CD</t>
  </si>
  <si>
    <t>Fixed telephone subscriptions refers to the sum of active number of analogue fixed telephone lines, voice-over-IP (VoIP) subscriptions, fixed wireless local loop (WLL) subscriptions, ISDN voice-channel equivalents and fixed public payphones.</t>
  </si>
  <si>
    <t>Source</t>
  </si>
  <si>
    <t>Economic Policy &amp; Debt: National accounts: US$ at current prices: Aggregate indicators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</si>
  <si>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</si>
  <si>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2019 [YR2019]</t>
  </si>
  <si>
    <t>ICT service exports (BoP, current US$)</t>
  </si>
  <si>
    <t>2008 [YR2008]</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</si>
  <si>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</si>
  <si>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</si>
  <si>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2014 [YR2014]</t>
  </si>
  <si>
    <t>TX.VAL.ICTG.ZS.UN</t>
  </si>
  <si>
    <t>2020 [YR2020]</t>
  </si>
  <si>
    <t>Gap-filled total</t>
  </si>
  <si>
    <t>2003 [YR2003]</t>
  </si>
  <si>
    <t>ICT goods imports (% total goods imports)</t>
  </si>
  <si>
    <t>International Telecommunication Union (ITU) World Telecommunication/ICT Indicators Database</t>
  </si>
  <si>
    <t>The number of distinct, publicly-trusted TLS/SSL certificates found in the Netcraft Secure Server Survey.</t>
  </si>
  <si>
    <t>This indicator refers to male individuals who have used the Internet (from any location) in the last 3 months. The Internet can be used via a computer, mobile phone, personal digital assistant, games machine, digital TV etc.</t>
  </si>
  <si>
    <t>TM.VAL.ICTG.ZS.UN</t>
  </si>
  <si>
    <t>GDP (current US$)</t>
  </si>
  <si>
    <t>IT.NET.BBND.P2</t>
  </si>
  <si>
    <t>United Nations Conference on Trade and Development's UNCTADstat database at http://unctadstat.unctad.org/ReportFolders/reportFolders.aspx.</t>
  </si>
  <si>
    <t>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</si>
  <si>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</si>
  <si>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This indicator refers to female individuals who have used the Internet (from any location) in the last 3 months. The Internet can be used via a computer, mobile phone, personal digital assistant, games machine, digital TV etc.</t>
  </si>
  <si>
    <t>1995 [YR1995]</t>
  </si>
  <si>
    <t>Internet users are individuals who have used the Internet (from any location) in the last 3 months. The Internet can be used via a computer, mobile phone, personal digital assistant, games machine, digital TV etc.</t>
  </si>
  <si>
    <t>Code</t>
  </si>
  <si>
    <t>IT.NET.USER.ZS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</si>
  <si>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</si>
  <si>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2016 [YR2016]</t>
  </si>
  <si>
    <t>Information and communication technology goods imports include computers and peripheral equipment, communication equipment, consumer electronic equipment, electronic components, and other information and technology goods (miscellaneous).</t>
  </si>
  <si>
    <t>https://datacatalog.worldbank.org/public-licenses#cc-by</t>
  </si>
  <si>
    <t>IT.CEL.SETS</t>
  </si>
  <si>
    <t>2022 [YR2022]</t>
  </si>
  <si>
    <t>IT.CEL.SETS.P2</t>
  </si>
  <si>
    <t>Please cite the International Telecommunication Union for third-party use of these data.</t>
  </si>
  <si>
    <t>2005 [YR2005]</t>
  </si>
  <si>
    <t>2011 [YR2011]</t>
  </si>
  <si>
    <t>IT.NET.SECR</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</si>
  <si>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</si>
  <si>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International Monetary Fund, Balance of Payments Statistics Yearbook and data files.</t>
  </si>
  <si>
    <t>IT.MLT.MAIN</t>
  </si>
  <si>
    <t>2000 [YR2000]</t>
  </si>
  <si>
    <t>Individuals using the Internet (% of population)</t>
  </si>
  <si>
    <t>Sum</t>
  </si>
  <si>
    <t>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</si>
  <si>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</si>
  <si>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Note: Data are based on the sixth edition of the IMF's Balance of Payments Manual (BPM6) and are only available from 2005 onwards. Merchanting is reclassified from services to goods.</t>
  </si>
  <si>
    <t>Information and communication technology goods exports include computers and peripheral equipment, communication equipment, consumer electronic equipment, electronic components, and other information and technology goods (miscellaneous).</t>
  </si>
  <si>
    <t>Use and distribution of these data are subject to ITU terms and conditions.</t>
  </si>
  <si>
    <t>ICT service exports (% of service exports, BoP)</t>
  </si>
  <si>
    <t>1997 [YR1997]</t>
  </si>
  <si>
    <t>Information and communication technology service exports include computer and communications services (telecommunications and postal and courier services) and information services (computer data and news-related service transactions). Data are in current U.S. dollars.</t>
  </si>
  <si>
    <t>License URL</t>
  </si>
  <si>
    <t>IT.NET.BBND</t>
  </si>
  <si>
    <t>Periodicity</t>
  </si>
  <si>
    <t>Note: Data are based on the sixth edition of the IMF's Balance of Payments Manual (BPM6) and are only available from 2005 onwards.</t>
  </si>
  <si>
    <t>2018 [YR2018]</t>
  </si>
  <si>
    <t>http://www.itu.int</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</si>
  <si>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</si>
  <si>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Secure Internet servers (per 1 million people)</t>
  </si>
  <si>
    <t>2007 [YR2007]</t>
  </si>
  <si>
    <t>2013 [YR2013]</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</si>
  <si>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</si>
  <si>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ICT goods exports (% of total goods exports)</t>
  </si>
  <si>
    <t>Goods exports (BoP, current US$)</t>
  </si>
  <si>
    <t>Percent</t>
  </si>
  <si>
    <t>2002 [YR2002]</t>
  </si>
  <si>
    <t>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investigate new issuers each month and determine whether they are third party issuers that could be expected to be trusted by some user base; CAs that issue only for one company are generally excluded, as are self-signed certificates." Netcraft note on the term “valid certificates": “There is nothing inherently "invalid" about private certification or self-signed certificates. But neither of these types of certificates are generally accepted by end-users' browsers, and browsers would typically report them as "invalid", so our terminology is consistent with normal user expectations.” [https://www.netcraft.com/] The data reflects the December survey in that year.</t>
  </si>
  <si>
    <t>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t>
  </si>
  <si>
    <t>Secure Internet servers</t>
  </si>
  <si>
    <t>Goods imports (BoP, current US$)</t>
  </si>
  <si>
    <t>Goods exports refer to all movable goods (including nonmonetary gold and net exports of goods under merchanting) involved in a change of ownership from residents to nonresidents. Data are in current U.S. dollars.</t>
  </si>
  <si>
    <t>BX.GSR.CCIS.ZS</t>
  </si>
  <si>
    <t>Netcraft (http://www.netcraft.com/)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</si>
  <si>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</si>
  <si>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Individuals using the Internet, male (% of male population)</t>
  </si>
  <si>
    <t>Infrastructure: Communications</t>
  </si>
  <si>
    <t>Unit of measure</t>
  </si>
  <si>
    <t>Annual</t>
  </si>
  <si>
    <t>1999 [YR1999]</t>
  </si>
  <si>
    <t>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t>
  </si>
  <si>
    <t>License Type</t>
  </si>
  <si>
    <t>Long definition</t>
  </si>
  <si>
    <t>NY.GDP.MKTP.CD</t>
  </si>
  <si>
    <t>General comments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</si>
  <si>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</si>
  <si>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BX.GSR.MRCH.CD</t>
  </si>
  <si>
    <t>IT.MLT.MAIN.P2</t>
  </si>
  <si>
    <t>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t>
  </si>
  <si>
    <t>Economic Policy &amp; Debt: Balance of payments: Current account: Goods, services &amp; income</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</si>
  <si>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</si>
  <si>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IT.NET.USER.FE.ZS</t>
  </si>
  <si>
    <t>Goods imports refer to all movable goods (including nonmonetary gold) involved in a change of ownership from nonresidents to residents. Data are in current U.S. dollars.</t>
  </si>
  <si>
    <t>2015 [YR2015]</t>
  </si>
  <si>
    <t>2009 [YR2009]</t>
  </si>
  <si>
    <t>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</si>
  <si>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2021 [YR2021]</t>
  </si>
  <si>
    <t>2004 [YR2004]</t>
  </si>
  <si>
    <t>2010 [YR2010]</t>
  </si>
  <si>
    <t>Individuals using the Internet, female (% of female population)</t>
  </si>
  <si>
    <t>Series Name</t>
  </si>
  <si>
    <t>Development relevance</t>
  </si>
  <si>
    <t>Fixed broadband subscriptions (per 100 people)</t>
  </si>
  <si>
    <t>Fixed telephone subscriptions (per 100 people)</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</si>
  <si>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</si>
  <si>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Topic</t>
  </si>
  <si>
    <t>1996 [YR1996]</t>
  </si>
  <si>
    <t>BX.GSR.CCIS.CD</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</si>
  <si>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</si>
  <si>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IT.NET.SECR.P6</t>
  </si>
  <si>
    <t>Weighted average</t>
  </si>
  <si>
    <t>Aggregation method</t>
  </si>
  <si>
    <t>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</si>
  <si>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2017 [YR2017]</t>
  </si>
  <si>
    <t>CC BY-4.0</t>
  </si>
  <si>
    <t>2023 [YR2023]</t>
  </si>
  <si>
    <t>Mobile cellular subscriptions (per 100 people)</t>
  </si>
  <si>
    <t>2006 [YR2006]</t>
  </si>
  <si>
    <t>2012 [YR2012]</t>
  </si>
  <si>
    <t>Mobile cellular subscriptions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</si>
  <si>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</si>
  <si>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World Bank national accounts data, and OECD National Accounts data files.</t>
  </si>
  <si>
    <t>2001 [YR2001]</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</si>
  <si>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</si>
  <si>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Limitations and exceptions</t>
  </si>
  <si>
    <t>Statistical concept and methodology</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</si>
  <si>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</si>
  <si>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</si>
  <si>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t>
  </si>
  <si>
    <t>Netcraft (http://www.netcraft.com/) and World Bank population estimates.</t>
  </si>
  <si>
    <t>Information and communication technology service exports include computer and communications services (telecommunications and postal and courier services) and information services (computer data and news-related service transactions).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</si>
  <si>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</si>
  <si>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IT.NET.USER.MA.ZS</t>
  </si>
  <si>
    <t>1998 [YR1998]</t>
  </si>
  <si>
    <t>Fixed broadband subscriptions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</si>
  <si>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</si>
  <si>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Fixed telephone subscriptions</t>
  </si>
  <si>
    <t>Goods Imports (% of GDP)</t>
  </si>
  <si>
    <t>Goods Exports (% of GDP)</t>
  </si>
  <si>
    <t>ICT goods exports (% of GDP)</t>
  </si>
  <si>
    <t>ICT goods imports (% of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</si>
</sst>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abSelected="1" workbookViewId="0">
      <selection activeCell="Y20" sqref="Y20"/>
    </sheetView>
  </sheetViews>
  <sheetFormatPr baseColWidth="10" defaultColWidth="9.140625" defaultRowHeight="15" x14ac:dyDescent="0.25"/>
  <cols>
    <col min="17" max="17" width="24" bestFit="1" customWidth="1"/>
    <col min="18" max="18" width="23.7109375" bestFit="1" customWidth="1"/>
    <col min="19" max="20" width="9.42578125" bestFit="1" customWidth="1"/>
  </cols>
  <sheetData>
    <row r="1" spans="1:19" x14ac:dyDescent="0.25">
      <c r="A1" t="s">
        <v>103</v>
      </c>
      <c r="B1" t="s">
        <v>137</v>
      </c>
      <c r="C1" t="s">
        <v>105</v>
      </c>
      <c r="D1" t="s">
        <v>139</v>
      </c>
      <c r="E1" t="s">
        <v>106</v>
      </c>
      <c r="F1" t="s">
        <v>66</v>
      </c>
      <c r="G1" t="s">
        <v>15</v>
      </c>
      <c r="H1" t="s">
        <v>52</v>
      </c>
      <c r="I1" t="s">
        <v>6</v>
      </c>
      <c r="J1" t="s">
        <v>45</v>
      </c>
      <c r="K1" t="s">
        <v>122</v>
      </c>
      <c r="L1" t="s">
        <v>119</v>
      </c>
      <c r="M1" t="s">
        <v>73</v>
      </c>
      <c r="N1" t="s">
        <v>67</v>
      </c>
      <c r="O1" t="s">
        <v>20</v>
      </c>
      <c r="P1" s="2" t="s">
        <v>140</v>
      </c>
      <c r="Q1" s="2" t="s">
        <v>141</v>
      </c>
      <c r="R1" s="2" t="s">
        <v>142</v>
      </c>
      <c r="S1" s="2" t="s">
        <v>143</v>
      </c>
    </row>
    <row r="2" spans="1:19" x14ac:dyDescent="0.25">
      <c r="A2" t="s">
        <v>26</v>
      </c>
      <c r="B2" s="1">
        <v>7680</v>
      </c>
      <c r="C2" s="1">
        <v>4.9536799999999999E-2</v>
      </c>
      <c r="D2">
        <v>1818000</v>
      </c>
      <c r="E2">
        <v>12.5</v>
      </c>
      <c r="F2" s="1">
        <v>0.16</v>
      </c>
      <c r="G2" s="1">
        <f>AVERAGE(G7:G29)</f>
        <v>7.8795652173913027</v>
      </c>
      <c r="H2">
        <v>5.3706981907647995</v>
      </c>
      <c r="I2">
        <v>179000000</v>
      </c>
      <c r="J2">
        <v>0.34699999999999998</v>
      </c>
      <c r="K2">
        <v>197314</v>
      </c>
      <c r="L2">
        <v>1.3686397450000001</v>
      </c>
      <c r="M2">
        <v>14644000000</v>
      </c>
      <c r="N2">
        <v>16025000000</v>
      </c>
      <c r="O2">
        <v>73444831671.016891</v>
      </c>
      <c r="P2" s="2">
        <f>(M2/O2)*100</f>
        <v>19.93877535943605</v>
      </c>
      <c r="Q2" s="2">
        <f>(N2/O2)*100</f>
        <v>21.819098274717476</v>
      </c>
      <c r="R2" s="2">
        <f>(P2/100)*(F2/100)</f>
        <v>3.1902040575097681E-4</v>
      </c>
      <c r="S2" s="2">
        <f>(P2/100)*(G2/100)</f>
        <v>1.5710888079959108E-2</v>
      </c>
    </row>
    <row r="3" spans="1:19" x14ac:dyDescent="0.25">
      <c r="A3" t="s">
        <v>109</v>
      </c>
      <c r="B3" s="1">
        <v>7680</v>
      </c>
      <c r="C3" s="1">
        <v>4.9536799999999999E-2</v>
      </c>
      <c r="D3">
        <v>2151000</v>
      </c>
      <c r="E3">
        <v>14.6</v>
      </c>
      <c r="F3" s="1">
        <v>0.16</v>
      </c>
      <c r="G3" s="1">
        <v>7.8795652173913027</v>
      </c>
      <c r="H3">
        <v>6.1227478625820595</v>
      </c>
      <c r="I3">
        <v>219700000</v>
      </c>
      <c r="J3">
        <v>0.68300000000000005</v>
      </c>
      <c r="K3">
        <v>319474</v>
      </c>
      <c r="L3">
        <v>2.1858601719999999</v>
      </c>
      <c r="M3">
        <v>17623815000</v>
      </c>
      <c r="N3">
        <v>16626465803.549999</v>
      </c>
      <c r="O3">
        <v>78584098982.909668</v>
      </c>
      <c r="P3" s="2">
        <f>(M3/O3)*100</f>
        <v>22.426693476288118</v>
      </c>
      <c r="Q3" s="2">
        <f>(N3/O3)*100</f>
        <v>21.157544616202692</v>
      </c>
      <c r="R3" s="2">
        <f>(P3/100)*(F3/100)</f>
        <v>3.5882709562060989E-4</v>
      </c>
      <c r="S3" s="2">
        <f>(P3/100)*(G3/100)</f>
        <v>1.7671259385685631E-2</v>
      </c>
    </row>
    <row r="4" spans="1:19" x14ac:dyDescent="0.25">
      <c r="A4" t="s">
        <v>53</v>
      </c>
      <c r="B4" s="1">
        <v>7680</v>
      </c>
      <c r="C4" s="1">
        <v>4.9536799999999999E-2</v>
      </c>
      <c r="D4">
        <v>2693286</v>
      </c>
      <c r="E4">
        <v>18</v>
      </c>
      <c r="F4" s="1">
        <v>0.16</v>
      </c>
      <c r="G4" s="1">
        <v>7.8795652173913027</v>
      </c>
      <c r="H4">
        <v>5.5984655130508276</v>
      </c>
      <c r="I4">
        <v>217900000</v>
      </c>
      <c r="J4">
        <v>1.06</v>
      </c>
      <c r="K4">
        <v>409740</v>
      </c>
      <c r="L4">
        <v>2.7667769870000001</v>
      </c>
      <c r="M4">
        <v>19222140000</v>
      </c>
      <c r="N4">
        <v>17869877663.390003</v>
      </c>
      <c r="O4">
        <v>85741415285.403503</v>
      </c>
      <c r="P4" s="2">
        <f>(M4/O4)*100</f>
        <v>22.418734209152191</v>
      </c>
      <c r="Q4" s="2">
        <f>(N4/O4)*100</f>
        <v>20.841593999711066</v>
      </c>
      <c r="R4" s="2">
        <f>(P4/100)*(F4/100)</f>
        <v>3.5869974734643509E-4</v>
      </c>
      <c r="S4" s="2">
        <f>(P4/100)*(G4/100)</f>
        <v>1.7664987829237613E-2</v>
      </c>
    </row>
    <row r="5" spans="1:19" x14ac:dyDescent="0.25">
      <c r="A5" t="s">
        <v>136</v>
      </c>
      <c r="B5" s="1">
        <v>7680</v>
      </c>
      <c r="C5" s="1">
        <v>4.9536799999999999E-2</v>
      </c>
      <c r="D5">
        <v>3046698</v>
      </c>
      <c r="E5">
        <v>20.100000000000001</v>
      </c>
      <c r="F5" s="1">
        <v>0.16</v>
      </c>
      <c r="G5" s="1">
        <v>7.8795652173913027</v>
      </c>
      <c r="H5">
        <v>5.7890487781798958</v>
      </c>
      <c r="I5">
        <v>228800000</v>
      </c>
      <c r="J5">
        <v>1.66</v>
      </c>
      <c r="K5">
        <v>964248</v>
      </c>
      <c r="L5">
        <v>6.4297165339999998</v>
      </c>
      <c r="M5">
        <v>18288420000</v>
      </c>
      <c r="N5">
        <v>16322526210.32</v>
      </c>
      <c r="O5">
        <v>81990010703.842987</v>
      </c>
      <c r="P5" s="2">
        <f>(M5/O5)*100</f>
        <v>22.305668511326097</v>
      </c>
      <c r="Q5" s="2">
        <f>(N5/O5)*100</f>
        <v>19.907944968172739</v>
      </c>
      <c r="R5" s="2">
        <f>(P5/100)*(F5/100)</f>
        <v>3.5689069618121755E-4</v>
      </c>
      <c r="S5" s="2">
        <f>(P5/100)*(G5/100)</f>
        <v>1.7575896975250554E-2</v>
      </c>
    </row>
    <row r="6" spans="1:19" x14ac:dyDescent="0.25">
      <c r="A6" t="s">
        <v>82</v>
      </c>
      <c r="B6" s="1">
        <v>7680</v>
      </c>
      <c r="C6" s="1">
        <v>4.9536799999999999E-2</v>
      </c>
      <c r="D6">
        <v>3108799</v>
      </c>
      <c r="E6">
        <v>20.3</v>
      </c>
      <c r="F6" s="1">
        <v>0.16</v>
      </c>
      <c r="G6" s="1">
        <v>7.8795652173913027</v>
      </c>
      <c r="H6">
        <v>5.5022645114393187</v>
      </c>
      <c r="I6">
        <v>212900000</v>
      </c>
      <c r="J6">
        <v>4.1000000000000005</v>
      </c>
      <c r="K6">
        <v>2260687</v>
      </c>
      <c r="L6">
        <v>14.896059080000001</v>
      </c>
      <c r="M6">
        <v>14681790000</v>
      </c>
      <c r="N6">
        <v>17161948433.720001</v>
      </c>
      <c r="O6">
        <v>75578685735.521881</v>
      </c>
      <c r="P6" s="2">
        <f>(M6/O6)*100</f>
        <v>19.425833959824441</v>
      </c>
      <c r="Q6" s="2">
        <f>(N6/O6)*100</f>
        <v>22.70739199379053</v>
      </c>
      <c r="R6" s="2">
        <f>(P6/100)*(F6/100)</f>
        <v>3.1081334335719105E-4</v>
      </c>
      <c r="S6" s="2">
        <f>(P6/100)*(G6/100)</f>
        <v>1.5306712558865142E-2</v>
      </c>
    </row>
    <row r="7" spans="1:19" x14ac:dyDescent="0.25">
      <c r="A7" t="s">
        <v>44</v>
      </c>
      <c r="B7" s="1">
        <v>7680</v>
      </c>
      <c r="C7" s="1">
        <v>4.9536799999999999E-2</v>
      </c>
      <c r="D7">
        <v>3302500</v>
      </c>
      <c r="E7">
        <v>21.3</v>
      </c>
      <c r="F7">
        <v>0.16</v>
      </c>
      <c r="G7">
        <v>10.19</v>
      </c>
      <c r="H7">
        <v>5.8947905000134622</v>
      </c>
      <c r="I7">
        <v>240700000</v>
      </c>
      <c r="J7">
        <v>16.600000000000001</v>
      </c>
      <c r="K7">
        <v>3400000</v>
      </c>
      <c r="L7">
        <v>22.157176639999999</v>
      </c>
      <c r="M7">
        <v>17028810000.000002</v>
      </c>
      <c r="N7">
        <v>19209887166.010002</v>
      </c>
      <c r="O7">
        <v>78339750721.735184</v>
      </c>
      <c r="P7" s="2">
        <f>(M7/O7)*100</f>
        <v>21.737125588370549</v>
      </c>
      <c r="Q7" s="2">
        <f>(N7/O7)*100</f>
        <v>24.521251330303588</v>
      </c>
      <c r="R7" s="2">
        <f>(P7/100)*(F7/100)</f>
        <v>3.4779400941392879E-4</v>
      </c>
      <c r="S7" s="2">
        <f>(P7/100)*(G7/100)</f>
        <v>2.2150130974549587E-2</v>
      </c>
    </row>
    <row r="8" spans="1:19" x14ac:dyDescent="0.25">
      <c r="A8" t="s">
        <v>125</v>
      </c>
      <c r="B8">
        <v>66700</v>
      </c>
      <c r="C8">
        <v>0.425425</v>
      </c>
      <c r="D8">
        <v>3478490</v>
      </c>
      <c r="E8">
        <v>22.2</v>
      </c>
      <c r="F8">
        <v>0.18</v>
      </c>
      <c r="G8">
        <v>9.1</v>
      </c>
      <c r="H8">
        <v>4.0484376440671079</v>
      </c>
      <c r="I8">
        <v>167555856.86601502</v>
      </c>
      <c r="J8">
        <v>19.100000000000001</v>
      </c>
      <c r="K8">
        <v>5100000</v>
      </c>
      <c r="L8">
        <v>32.857448009999999</v>
      </c>
      <c r="M8">
        <v>16356140000</v>
      </c>
      <c r="N8">
        <v>18271390806.639999</v>
      </c>
      <c r="O8">
        <v>71574739561.432877</v>
      </c>
      <c r="P8" s="2">
        <f>(M8/O8)*100</f>
        <v>22.851833063201667</v>
      </c>
      <c r="Q8" s="2">
        <f>(N8/O8)*100</f>
        <v>25.527708404663624</v>
      </c>
      <c r="R8" s="2">
        <f>(P8/100)*(F8/100)</f>
        <v>4.1133299513763E-4</v>
      </c>
      <c r="S8" s="2">
        <f>(P8/100)*(G8/100)</f>
        <v>2.0795168087513517E-2</v>
      </c>
    </row>
    <row r="9" spans="1:19" x14ac:dyDescent="0.25">
      <c r="A9" t="s">
        <v>69</v>
      </c>
      <c r="B9">
        <v>188000</v>
      </c>
      <c r="C9">
        <v>1.1883900000000001</v>
      </c>
      <c r="D9">
        <v>3467010</v>
      </c>
      <c r="E9">
        <v>21.9</v>
      </c>
      <c r="F9">
        <v>0.21</v>
      </c>
      <c r="G9">
        <v>8.57</v>
      </c>
      <c r="H9">
        <v>5.1216823071362718</v>
      </c>
      <c r="I9">
        <v>224699000</v>
      </c>
      <c r="J9">
        <v>22.1</v>
      </c>
      <c r="K9">
        <v>6240000</v>
      </c>
      <c r="L9">
        <v>39.788413120000001</v>
      </c>
      <c r="M9">
        <v>15742541721.82</v>
      </c>
      <c r="N9">
        <v>18178137790.175999</v>
      </c>
      <c r="O9">
        <v>70264045939.132156</v>
      </c>
      <c r="P9" s="2">
        <f>(M9/O9)*100</f>
        <v>22.404832388185188</v>
      </c>
      <c r="Q9" s="2">
        <f>(N9/O9)*100</f>
        <v>25.871179985740117</v>
      </c>
      <c r="R9" s="2">
        <f>(P9/100)*(F9/100)</f>
        <v>4.7050148015188897E-4</v>
      </c>
      <c r="S9" s="2">
        <f>(P9/100)*(G9/100)</f>
        <v>1.9200941356674706E-2</v>
      </c>
    </row>
    <row r="10" spans="1:19" x14ac:dyDescent="0.25">
      <c r="A10" t="s">
        <v>14</v>
      </c>
      <c r="B10">
        <v>352000</v>
      </c>
      <c r="C10">
        <v>2.1980599999999999</v>
      </c>
      <c r="D10">
        <v>3252060</v>
      </c>
      <c r="E10">
        <v>20.3</v>
      </c>
      <c r="F10">
        <v>0.73</v>
      </c>
      <c r="G10">
        <v>7.69</v>
      </c>
      <c r="H10">
        <v>4.9747221035022822</v>
      </c>
      <c r="I10">
        <v>239723700.831743</v>
      </c>
      <c r="J10">
        <v>25.5</v>
      </c>
      <c r="K10">
        <v>7270000</v>
      </c>
      <c r="L10">
        <v>45.830315089999999</v>
      </c>
      <c r="M10">
        <v>17803473186.147701</v>
      </c>
      <c r="N10">
        <v>21746923812.096802</v>
      </c>
      <c r="O10">
        <v>76492579644.060532</v>
      </c>
      <c r="P10" s="2">
        <f>(M10/O10)*100</f>
        <v>23.274771577833821</v>
      </c>
      <c r="Q10" s="2">
        <f>(N10/O10)*100</f>
        <v>28.430109055402212</v>
      </c>
      <c r="R10" s="2">
        <f>(P10/100)*(F10/100)</f>
        <v>1.6990583251818691E-3</v>
      </c>
      <c r="S10" s="2">
        <f>(P10/100)*(G10/100)</f>
        <v>1.7898299343354213E-2</v>
      </c>
    </row>
    <row r="11" spans="1:19" x14ac:dyDescent="0.25">
      <c r="A11" t="s">
        <v>100</v>
      </c>
      <c r="B11">
        <v>479000</v>
      </c>
      <c r="C11">
        <v>2.95838</v>
      </c>
      <c r="D11">
        <v>3345100</v>
      </c>
      <c r="E11">
        <v>20.7</v>
      </c>
      <c r="F11">
        <v>0.45</v>
      </c>
      <c r="G11">
        <v>8.2200000000000006</v>
      </c>
      <c r="H11">
        <v>4.6165249820151439</v>
      </c>
      <c r="I11">
        <v>266399208.647847</v>
      </c>
      <c r="J11">
        <v>28.199999999999996</v>
      </c>
      <c r="K11">
        <v>9260000</v>
      </c>
      <c r="L11">
        <v>57.818733039999998</v>
      </c>
      <c r="M11">
        <v>22829937344.2131</v>
      </c>
      <c r="N11">
        <v>33117189709.208797</v>
      </c>
      <c r="O11">
        <v>99075985773.175995</v>
      </c>
      <c r="P11" s="2">
        <f>(M11/O11)*100</f>
        <v>23.042856617626629</v>
      </c>
      <c r="Q11" s="2">
        <f>(N11/O11)*100</f>
        <v>33.426051177554875</v>
      </c>
      <c r="R11" s="2">
        <f>(P11/100)*(F11/100)</f>
        <v>1.0369285477931983E-3</v>
      </c>
      <c r="S11" s="2">
        <f>(P11/100)*(G11/100)</f>
        <v>1.8941228139689091E-2</v>
      </c>
    </row>
    <row r="12" spans="1:19" x14ac:dyDescent="0.25">
      <c r="A12" t="s">
        <v>38</v>
      </c>
      <c r="B12">
        <v>709000</v>
      </c>
      <c r="C12">
        <v>4.3340500000000004</v>
      </c>
      <c r="D12">
        <v>3460650</v>
      </c>
      <c r="E12">
        <v>21.2</v>
      </c>
      <c r="F12">
        <v>0.53</v>
      </c>
      <c r="G12">
        <v>7.77</v>
      </c>
      <c r="H12">
        <v>3.5100236770779678</v>
      </c>
      <c r="I12">
        <v>233714549.66465798</v>
      </c>
      <c r="J12">
        <v>31.2</v>
      </c>
      <c r="K12">
        <v>10600000</v>
      </c>
      <c r="L12">
        <v>65.343856450000004</v>
      </c>
      <c r="M12">
        <v>30616765737.683502</v>
      </c>
      <c r="N12">
        <v>42082076283.949402</v>
      </c>
      <c r="O12">
        <v>122294145162.83487</v>
      </c>
      <c r="P12" s="2">
        <f>(M12/O12)*100</f>
        <v>25.035348746186681</v>
      </c>
      <c r="Q12" s="2">
        <f>(N12/O12)*100</f>
        <v>34.410540445674684</v>
      </c>
      <c r="R12" s="2">
        <f>(P12/100)*(F12/100)</f>
        <v>1.3268734835478941E-3</v>
      </c>
      <c r="S12" s="2">
        <f>(P12/100)*(G12/100)</f>
        <v>1.9452465975787051E-2</v>
      </c>
    </row>
    <row r="13" spans="1:19" x14ac:dyDescent="0.25">
      <c r="A13" t="s">
        <v>120</v>
      </c>
      <c r="B13">
        <v>1010000</v>
      </c>
      <c r="C13">
        <v>6.1277699999999999</v>
      </c>
      <c r="D13">
        <v>3383600</v>
      </c>
      <c r="E13">
        <v>20.5</v>
      </c>
      <c r="F13">
        <v>0.48</v>
      </c>
      <c r="G13">
        <v>8.39</v>
      </c>
      <c r="H13">
        <v>3.0089925747599988</v>
      </c>
      <c r="I13">
        <v>221644988.70971999</v>
      </c>
      <c r="J13">
        <v>34.5</v>
      </c>
      <c r="K13">
        <v>12500000</v>
      </c>
      <c r="L13">
        <v>76.223603990000001</v>
      </c>
      <c r="M13">
        <v>36404414880.728401</v>
      </c>
      <c r="N13">
        <v>59516598504.587799</v>
      </c>
      <c r="O13">
        <v>153843518171.43011</v>
      </c>
      <c r="P13" s="2">
        <f>(M13/O13)*100</f>
        <v>23.663275068997329</v>
      </c>
      <c r="Q13" s="2">
        <f>(N13/O13)*100</f>
        <v>38.686451799852605</v>
      </c>
      <c r="R13" s="2">
        <f>(P13/100)*(F13/100)</f>
        <v>1.1358372033118717E-3</v>
      </c>
      <c r="S13" s="2">
        <f>(P13/100)*(G13/100)</f>
        <v>1.985348778288876E-2</v>
      </c>
    </row>
    <row r="14" spans="1:19" x14ac:dyDescent="0.25">
      <c r="A14" t="s">
        <v>63</v>
      </c>
      <c r="B14">
        <v>1300000</v>
      </c>
      <c r="C14">
        <v>7.8115600000000001</v>
      </c>
      <c r="D14">
        <v>3459610</v>
      </c>
      <c r="E14">
        <v>20.8</v>
      </c>
      <c r="F14">
        <v>0.46</v>
      </c>
      <c r="G14">
        <v>7.35</v>
      </c>
      <c r="H14">
        <v>2.7386342772868244</v>
      </c>
      <c r="I14">
        <v>234246828.19636998</v>
      </c>
      <c r="J14">
        <v>35.9</v>
      </c>
      <c r="K14">
        <v>14000000</v>
      </c>
      <c r="L14">
        <v>84.599859670000001</v>
      </c>
      <c r="M14">
        <v>44420017110.1437</v>
      </c>
      <c r="N14">
        <v>68716258585.726494</v>
      </c>
      <c r="O14">
        <v>172491076033.86267</v>
      </c>
      <c r="P14" s="2">
        <f>(M14/O14)*100</f>
        <v>25.752066791805138</v>
      </c>
      <c r="Q14" s="2">
        <f>(N14/O14)*100</f>
        <v>39.837573146239997</v>
      </c>
      <c r="R14" s="2">
        <f>(P14/100)*(F14/100)</f>
        <v>1.1845950724230364E-3</v>
      </c>
      <c r="S14" s="2">
        <f>(P14/100)*(G14/100)</f>
        <v>1.8927769091976777E-2</v>
      </c>
    </row>
    <row r="15" spans="1:19" x14ac:dyDescent="0.25">
      <c r="A15" t="s">
        <v>7</v>
      </c>
      <c r="B15">
        <v>1430000</v>
      </c>
      <c r="C15">
        <v>8.4754400000000008</v>
      </c>
      <c r="D15">
        <v>3524790</v>
      </c>
      <c r="E15">
        <v>20.9</v>
      </c>
      <c r="F15">
        <v>0.5</v>
      </c>
      <c r="G15">
        <v>6.05</v>
      </c>
      <c r="H15">
        <v>3.0134433205357252</v>
      </c>
      <c r="I15">
        <v>303479743.56907004</v>
      </c>
      <c r="J15">
        <v>37.299999999999997</v>
      </c>
      <c r="K15">
        <v>14800000</v>
      </c>
      <c r="L15">
        <v>88.807290739999999</v>
      </c>
      <c r="M15">
        <v>58355092939.811501</v>
      </c>
      <c r="N15">
        <v>64694886570.406502</v>
      </c>
      <c r="O15">
        <v>179894594475.97992</v>
      </c>
      <c r="P15" s="2">
        <f>(M15/O15)*100</f>
        <v>32.438491612155282</v>
      </c>
      <c r="Q15" s="2">
        <f>(N15/O15)*100</f>
        <v>35.962662890932364</v>
      </c>
      <c r="R15" s="2">
        <f>(P15/100)*(F15/100)</f>
        <v>1.6219245806077642E-3</v>
      </c>
      <c r="S15" s="2">
        <f>(P15/100)*(G15/100)</f>
        <v>1.9625287425353948E-2</v>
      </c>
    </row>
    <row r="16" spans="1:19" x14ac:dyDescent="0.25">
      <c r="A16" t="s">
        <v>97</v>
      </c>
      <c r="B16">
        <v>1650000</v>
      </c>
      <c r="C16">
        <v>9.7278199999999995</v>
      </c>
      <c r="D16">
        <v>3555310</v>
      </c>
      <c r="E16">
        <v>20.9</v>
      </c>
      <c r="F16">
        <v>0.57999999999999996</v>
      </c>
      <c r="G16">
        <v>7.22</v>
      </c>
      <c r="H16">
        <v>3.1600526683583081</v>
      </c>
      <c r="I16">
        <v>255242155.97552601</v>
      </c>
      <c r="J16">
        <v>41.6</v>
      </c>
      <c r="K16">
        <v>16500000</v>
      </c>
      <c r="L16">
        <v>97.723437149999995</v>
      </c>
      <c r="M16">
        <v>40023222836.040703</v>
      </c>
      <c r="N16">
        <v>55623899442.645699</v>
      </c>
      <c r="O16">
        <v>171777900623.17734</v>
      </c>
      <c r="P16" s="2">
        <f>(M16/O16)*100</f>
        <v>23.299401547489005</v>
      </c>
      <c r="Q16" s="2">
        <f>(N16/O16)*100</f>
        <v>32.38128958431372</v>
      </c>
      <c r="R16" s="2">
        <f>(P16/100)*(F16/100)</f>
        <v>1.3513652897543622E-3</v>
      </c>
      <c r="S16" s="2">
        <f>(P16/100)*(G16/100)</f>
        <v>1.6822167917287061E-2</v>
      </c>
    </row>
    <row r="17" spans="1:19" x14ac:dyDescent="0.25">
      <c r="A17" t="s">
        <v>101</v>
      </c>
      <c r="B17">
        <v>1790000</v>
      </c>
      <c r="C17">
        <v>10.4145</v>
      </c>
      <c r="D17">
        <v>3459370</v>
      </c>
      <c r="E17">
        <v>20.100000000000001</v>
      </c>
      <c r="F17">
        <v>0.39</v>
      </c>
      <c r="G17">
        <v>7.8</v>
      </c>
      <c r="H17">
        <v>2.8055105274103056</v>
      </c>
      <c r="I17">
        <v>286135584.18795997</v>
      </c>
      <c r="J17">
        <v>45</v>
      </c>
      <c r="K17">
        <v>19900000</v>
      </c>
      <c r="L17">
        <v>116.7493111</v>
      </c>
      <c r="M17">
        <v>55107733124.460701</v>
      </c>
      <c r="N17">
        <v>71422337518.893997</v>
      </c>
      <c r="O17">
        <v>217051209240.29752</v>
      </c>
      <c r="P17" s="2">
        <f>(M17/O17)*100</f>
        <v>25.389277174425185</v>
      </c>
      <c r="Q17" s="2">
        <f>(N17/O17)*100</f>
        <v>32.905754254436005</v>
      </c>
      <c r="R17" s="2">
        <f>(P17/100)*(F17/100)</f>
        <v>9.9018180980258233E-4</v>
      </c>
      <c r="S17" s="2">
        <f>(P17/100)*(G17/100)</f>
        <v>1.9803636196051643E-2</v>
      </c>
    </row>
    <row r="18" spans="1:19" x14ac:dyDescent="0.25">
      <c r="A18" t="s">
        <v>39</v>
      </c>
      <c r="B18">
        <v>2009999.99999999</v>
      </c>
      <c r="C18">
        <v>11.590999999999999</v>
      </c>
      <c r="D18">
        <v>3370100</v>
      </c>
      <c r="E18">
        <v>19.399999999999999</v>
      </c>
      <c r="F18">
        <v>0.38</v>
      </c>
      <c r="G18">
        <v>7.02</v>
      </c>
      <c r="H18">
        <v>2.8370053451594623</v>
      </c>
      <c r="I18">
        <v>339874690.69034803</v>
      </c>
      <c r="J18">
        <v>52.2</v>
      </c>
      <c r="K18">
        <v>22300000</v>
      </c>
      <c r="L18">
        <v>129.9394599</v>
      </c>
      <c r="M18">
        <v>70591146900.733398</v>
      </c>
      <c r="N18">
        <v>81857427841.026306</v>
      </c>
      <c r="O18">
        <v>251382573885.59439</v>
      </c>
      <c r="P18" s="2">
        <f>(M18/O18)*100</f>
        <v>28.081161637266007</v>
      </c>
      <c r="Q18" s="2">
        <f>(N18/O18)*100</f>
        <v>32.56288873797596</v>
      </c>
      <c r="R18" s="2">
        <f>(P18/100)*(F18/100)</f>
        <v>1.0670841422161083E-3</v>
      </c>
      <c r="S18" s="2">
        <f>(P18/100)*(G18/100)</f>
        <v>1.9712975469360735E-2</v>
      </c>
    </row>
    <row r="19" spans="1:19" x14ac:dyDescent="0.25">
      <c r="A19" t="s">
        <v>121</v>
      </c>
      <c r="B19">
        <v>2170000</v>
      </c>
      <c r="C19">
        <v>12.365500000000001</v>
      </c>
      <c r="D19">
        <v>3292500</v>
      </c>
      <c r="E19">
        <v>18.8</v>
      </c>
      <c r="F19">
        <v>0.42</v>
      </c>
      <c r="G19">
        <v>7.1</v>
      </c>
      <c r="H19">
        <v>3.5052346526527089</v>
      </c>
      <c r="I19">
        <v>396182481.843844</v>
      </c>
      <c r="J19">
        <v>55.1</v>
      </c>
      <c r="K19">
        <v>23900000</v>
      </c>
      <c r="L19">
        <v>138.0537951</v>
      </c>
      <c r="M19">
        <v>75374270472.131592</v>
      </c>
      <c r="N19">
        <v>78283505945.486008</v>
      </c>
      <c r="O19">
        <v>267024782480.28046</v>
      </c>
      <c r="P19" s="2">
        <f>(M19/O19)*100</f>
        <v>28.227443824506409</v>
      </c>
      <c r="Q19" s="2">
        <f>(N19/O19)*100</f>
        <v>29.316943999857831</v>
      </c>
      <c r="R19" s="2">
        <f>(P19/100)*(F19/100)</f>
        <v>1.1855526406292691E-3</v>
      </c>
      <c r="S19" s="2">
        <f>(P19/100)*(G19/100)</f>
        <v>2.0041485115399549E-2</v>
      </c>
    </row>
    <row r="20" spans="1:19" x14ac:dyDescent="0.25">
      <c r="A20" t="s">
        <v>64</v>
      </c>
      <c r="B20">
        <v>2300000</v>
      </c>
      <c r="C20">
        <v>12.976599999999999</v>
      </c>
      <c r="D20">
        <v>3347230</v>
      </c>
      <c r="E20">
        <v>18.899999999999999</v>
      </c>
      <c r="F20">
        <v>0.35</v>
      </c>
      <c r="G20">
        <v>7.48</v>
      </c>
      <c r="H20">
        <v>3.1806101222584005</v>
      </c>
      <c r="I20">
        <v>352629578.01144898</v>
      </c>
      <c r="J20">
        <v>57.999999999999993</v>
      </c>
      <c r="K20">
        <v>23700000</v>
      </c>
      <c r="L20">
        <v>135.13101280000001</v>
      </c>
      <c r="M20">
        <v>74670217339.893494</v>
      </c>
      <c r="N20">
        <v>77069617024.285004</v>
      </c>
      <c r="O20">
        <v>277395018837.36597</v>
      </c>
      <c r="P20" s="2">
        <f>(M20/O20)*100</f>
        <v>26.918369930669851</v>
      </c>
      <c r="Q20" s="2">
        <f>(N20/O20)*100</f>
        <v>27.783345694996125</v>
      </c>
      <c r="R20" s="2">
        <f>(P20/100)*(F20/100)</f>
        <v>9.421429475734446E-4</v>
      </c>
      <c r="S20" s="2">
        <f>(P20/100)*(G20/100)</f>
        <v>2.013494070814105E-2</v>
      </c>
    </row>
    <row r="21" spans="1:19" x14ac:dyDescent="0.25">
      <c r="A21" t="s">
        <v>10</v>
      </c>
      <c r="B21">
        <v>2490000</v>
      </c>
      <c r="C21">
        <v>13.9369</v>
      </c>
      <c r="D21">
        <v>3427750</v>
      </c>
      <c r="E21">
        <v>19.2</v>
      </c>
      <c r="F21">
        <v>0.41</v>
      </c>
      <c r="G21">
        <v>6.73</v>
      </c>
      <c r="H21">
        <v>3.5165062423905735</v>
      </c>
      <c r="I21">
        <v>342669388.91258001</v>
      </c>
      <c r="J21">
        <v>61.1</v>
      </c>
      <c r="K21">
        <v>23700000</v>
      </c>
      <c r="L21">
        <v>133.88688529999999</v>
      </c>
      <c r="M21">
        <v>68593775670.257805</v>
      </c>
      <c r="N21">
        <v>75324399113.048203</v>
      </c>
      <c r="O21">
        <v>259560978231.55179</v>
      </c>
      <c r="P21" s="2">
        <f>(M21/O21)*100</f>
        <v>26.426844334461542</v>
      </c>
      <c r="Q21" s="2">
        <f>(N21/O21)*100</f>
        <v>29.019924191321255</v>
      </c>
      <c r="R21" s="2">
        <f>(P21/100)*(F21/100)</f>
        <v>1.083500617712923E-3</v>
      </c>
      <c r="S21" s="2">
        <f>(P21/100)*(G21/100)</f>
        <v>1.7785266237092617E-2</v>
      </c>
    </row>
    <row r="22" spans="1:19" x14ac:dyDescent="0.25">
      <c r="A22" t="s">
        <v>96</v>
      </c>
      <c r="B22">
        <v>2720000</v>
      </c>
      <c r="C22">
        <v>15.068099999999999</v>
      </c>
      <c r="D22">
        <v>3445880</v>
      </c>
      <c r="E22">
        <v>19.100000000000001</v>
      </c>
      <c r="F22">
        <v>0.4</v>
      </c>
      <c r="G22">
        <v>8.34</v>
      </c>
      <c r="H22">
        <v>3.7029757487831478</v>
      </c>
      <c r="I22">
        <v>316877638.15570098</v>
      </c>
      <c r="J22">
        <v>76.599999999999994</v>
      </c>
      <c r="K22">
        <v>23200000</v>
      </c>
      <c r="L22">
        <v>129.861175</v>
      </c>
      <c r="M22">
        <v>58544405842.484398</v>
      </c>
      <c r="N22">
        <v>62120249897.7929</v>
      </c>
      <c r="O22">
        <v>242450355827.82703</v>
      </c>
      <c r="P22" s="2">
        <f>(M22/O22)*100</f>
        <v>24.146966352179309</v>
      </c>
      <c r="Q22" s="2">
        <f>(N22/O22)*100</f>
        <v>25.621843154524708</v>
      </c>
      <c r="R22" s="2">
        <f>(P22/100)*(F22/100)</f>
        <v>9.6587865408717232E-4</v>
      </c>
      <c r="S22" s="2">
        <f>(P22/100)*(G22/100)</f>
        <v>2.0138569937717545E-2</v>
      </c>
    </row>
    <row r="23" spans="1:19" x14ac:dyDescent="0.25">
      <c r="A23" t="s">
        <v>31</v>
      </c>
      <c r="B23">
        <v>2900000</v>
      </c>
      <c r="C23">
        <v>15.900499999999999</v>
      </c>
      <c r="D23">
        <v>3375040</v>
      </c>
      <c r="E23">
        <v>18.5</v>
      </c>
      <c r="F23">
        <v>0.53</v>
      </c>
      <c r="G23">
        <v>8.8000000000000007</v>
      </c>
      <c r="H23">
        <v>4.0046724810911067</v>
      </c>
      <c r="I23">
        <v>344413567.20398301</v>
      </c>
      <c r="J23">
        <v>83.6</v>
      </c>
      <c r="K23">
        <v>23300000</v>
      </c>
      <c r="L23">
        <v>128.8584324</v>
      </c>
      <c r="M23">
        <v>55818817538.0448</v>
      </c>
      <c r="N23">
        <v>60769494234.713203</v>
      </c>
      <c r="O23">
        <v>249344863933.46103</v>
      </c>
      <c r="P23" s="2">
        <f>(M23/O23)*100</f>
        <v>22.386191019735762</v>
      </c>
      <c r="Q23" s="2">
        <f>(N23/O23)*100</f>
        <v>24.371664720124276</v>
      </c>
      <c r="R23" s="2">
        <f>(P23/100)*(F23/100)</f>
        <v>1.1864681240459955E-3</v>
      </c>
      <c r="S23" s="2">
        <f>(P23/100)*(G23/100)</f>
        <v>1.9699848097367474E-2</v>
      </c>
    </row>
    <row r="24" spans="1:19" x14ac:dyDescent="0.25">
      <c r="A24" t="s">
        <v>116</v>
      </c>
      <c r="B24">
        <v>3060000</v>
      </c>
      <c r="C24">
        <v>16.501000000000001</v>
      </c>
      <c r="D24">
        <v>3200250</v>
      </c>
      <c r="E24">
        <v>17.2</v>
      </c>
      <c r="F24">
        <v>0.37</v>
      </c>
      <c r="G24">
        <v>8.42</v>
      </c>
      <c r="H24">
        <v>3.7694266028608641</v>
      </c>
      <c r="I24">
        <v>346544543.47280002</v>
      </c>
      <c r="J24">
        <v>82.3</v>
      </c>
      <c r="K24">
        <v>23000000</v>
      </c>
      <c r="L24">
        <v>125.28541</v>
      </c>
      <c r="M24">
        <v>61413799389.237206</v>
      </c>
      <c r="N24">
        <v>68904187418.279114</v>
      </c>
      <c r="O24">
        <v>276154259987.10345</v>
      </c>
      <c r="P24" s="2">
        <f>(M24/O24)*100</f>
        <v>22.238946953816775</v>
      </c>
      <c r="Q24" s="2">
        <f>(N24/O24)*100</f>
        <v>24.951339668450878</v>
      </c>
      <c r="R24" s="2">
        <f>(P24/100)*(F24/100)</f>
        <v>8.2284103729122072E-4</v>
      </c>
      <c r="S24" s="2">
        <f>(P24/100)*(G24/100)</f>
        <v>1.8725193335113723E-2</v>
      </c>
    </row>
    <row r="25" spans="1:19" x14ac:dyDescent="0.25">
      <c r="A25" t="s">
        <v>59</v>
      </c>
      <c r="B25">
        <v>3250000</v>
      </c>
      <c r="C25">
        <v>17.206700000000001</v>
      </c>
      <c r="D25">
        <v>2997190</v>
      </c>
      <c r="E25">
        <v>15.9</v>
      </c>
      <c r="F25">
        <v>0.28999999999999998</v>
      </c>
      <c r="G25">
        <v>8</v>
      </c>
      <c r="H25">
        <v>4.063777941634501</v>
      </c>
      <c r="I25">
        <v>374911761.82004696</v>
      </c>
      <c r="J25">
        <v>84.899999999999991</v>
      </c>
      <c r="K25">
        <v>25200000</v>
      </c>
      <c r="L25">
        <v>134.6365175</v>
      </c>
      <c r="M25">
        <v>70429568219.003891</v>
      </c>
      <c r="N25">
        <v>74838121947.414307</v>
      </c>
      <c r="O25">
        <v>295857562991.70905</v>
      </c>
      <c r="P25" s="2">
        <f>(M25/O25)*100</f>
        <v>23.805228268231755</v>
      </c>
      <c r="Q25" s="2">
        <f>(N25/O25)*100</f>
        <v>25.295321569829714</v>
      </c>
      <c r="R25" s="2">
        <f>(P25/100)*(F25/100)</f>
        <v>6.9035161977872082E-4</v>
      </c>
      <c r="S25" s="2">
        <f>(P25/100)*(G25/100)</f>
        <v>1.9044182614585403E-2</v>
      </c>
    </row>
    <row r="26" spans="1:19" x14ac:dyDescent="0.25">
      <c r="A26" t="s">
        <v>5</v>
      </c>
      <c r="B26">
        <v>3430000</v>
      </c>
      <c r="C26">
        <v>17.864999999999998</v>
      </c>
      <c r="D26">
        <v>2750270</v>
      </c>
      <c r="E26">
        <v>14.3</v>
      </c>
      <c r="F26">
        <v>0.35</v>
      </c>
      <c r="G26">
        <v>7.59</v>
      </c>
      <c r="H26">
        <v>4.5252724394232331</v>
      </c>
      <c r="I26">
        <v>382946372.909109</v>
      </c>
      <c r="J26">
        <v>85</v>
      </c>
      <c r="K26">
        <v>25100000</v>
      </c>
      <c r="L26">
        <v>131.57744550000001</v>
      </c>
      <c r="M26">
        <v>65776232155.260002</v>
      </c>
      <c r="N26">
        <v>68792346366.297287</v>
      </c>
      <c r="O26">
        <v>278285058719.46613</v>
      </c>
      <c r="P26" s="2">
        <f>(M26/O26)*100</f>
        <v>23.636278734449689</v>
      </c>
      <c r="Q26" s="2">
        <f>(N26/O26)*100</f>
        <v>24.720100562655627</v>
      </c>
      <c r="R26" s="2">
        <f>(P26/100)*(F26/100)</f>
        <v>8.2726975570573903E-4</v>
      </c>
      <c r="S26" s="2">
        <f>(P26/100)*(G26/100)</f>
        <v>1.7939935559447312E-2</v>
      </c>
    </row>
    <row r="27" spans="1:19" x14ac:dyDescent="0.25">
      <c r="A27" t="s">
        <v>12</v>
      </c>
      <c r="B27">
        <v>3760000</v>
      </c>
      <c r="C27">
        <v>19.430599999999998</v>
      </c>
      <c r="D27">
        <v>2567940</v>
      </c>
      <c r="E27">
        <v>13.3</v>
      </c>
      <c r="F27">
        <v>0.27</v>
      </c>
      <c r="G27">
        <v>8.92</v>
      </c>
      <c r="H27">
        <v>6.8357864164009046</v>
      </c>
      <c r="I27">
        <v>379690903.23398697</v>
      </c>
      <c r="J27">
        <v>87.5</v>
      </c>
      <c r="K27">
        <v>25100000</v>
      </c>
      <c r="L27">
        <v>129.88518060000001</v>
      </c>
      <c r="M27">
        <v>55107524956.213303</v>
      </c>
      <c r="N27">
        <v>74024363032.909714</v>
      </c>
      <c r="O27">
        <v>254042159309.31055</v>
      </c>
      <c r="P27" s="2">
        <f>(M27/O27)*100</f>
        <v>21.692275449885784</v>
      </c>
      <c r="Q27" s="2">
        <f>(N27/O27)*100</f>
        <v>29.138613541219708</v>
      </c>
      <c r="R27" s="2">
        <f>(P27/100)*(F27/100)</f>
        <v>5.8569143714691616E-4</v>
      </c>
      <c r="S27" s="2">
        <f>(P27/100)*(G27/100)</f>
        <v>1.9349509701298121E-2</v>
      </c>
    </row>
    <row r="28" spans="1:19" x14ac:dyDescent="0.25">
      <c r="A28" t="s">
        <v>99</v>
      </c>
      <c r="B28">
        <v>4280000</v>
      </c>
      <c r="C28">
        <v>22.013999999999999</v>
      </c>
      <c r="D28">
        <v>2510970</v>
      </c>
      <c r="E28">
        <v>12.9</v>
      </c>
      <c r="F28">
        <v>0.27</v>
      </c>
      <c r="G28">
        <v>8.98</v>
      </c>
      <c r="H28">
        <v>8.4926102592580968</v>
      </c>
      <c r="I28">
        <v>496299255.66757798</v>
      </c>
      <c r="J28">
        <v>90.2</v>
      </c>
      <c r="K28">
        <v>26600000</v>
      </c>
      <c r="L28">
        <v>136.3134058</v>
      </c>
      <c r="M28">
        <v>84298843435.9832</v>
      </c>
      <c r="N28">
        <v>94604151312.263306</v>
      </c>
      <c r="O28">
        <v>315515014838.53949</v>
      </c>
      <c r="P28" s="2">
        <f>(M28/O28)*100</f>
        <v>26.717854768059766</v>
      </c>
      <c r="Q28" s="2">
        <f>(N28/O28)*100</f>
        <v>29.984040968914172</v>
      </c>
      <c r="R28" s="2">
        <f>(P28/100)*(F28/100)</f>
        <v>7.2138207873761377E-4</v>
      </c>
      <c r="S28" s="2">
        <f>(P28/100)*(G28/100)</f>
        <v>2.3992633581717673E-2</v>
      </c>
    </row>
    <row r="29" spans="1:19" x14ac:dyDescent="0.25">
      <c r="A29" t="s">
        <v>35</v>
      </c>
      <c r="B29">
        <v>4450000</v>
      </c>
      <c r="C29">
        <v>22.777000000000001</v>
      </c>
      <c r="D29">
        <v>2216790</v>
      </c>
      <c r="E29">
        <v>11.3</v>
      </c>
      <c r="F29">
        <v>0.28999999999999998</v>
      </c>
      <c r="G29">
        <v>5.5</v>
      </c>
      <c r="H29">
        <v>6.0098965766146959</v>
      </c>
      <c r="I29">
        <v>511728723.709328</v>
      </c>
      <c r="J29">
        <v>93.5</v>
      </c>
      <c r="K29">
        <v>26400000</v>
      </c>
      <c r="L29">
        <v>134.74532629999999</v>
      </c>
      <c r="M29">
        <v>94827200713.712204</v>
      </c>
      <c r="N29">
        <v>98556641851.784393</v>
      </c>
      <c r="O29">
        <v>302116539409.02985</v>
      </c>
      <c r="P29" s="2">
        <f>(M29/O29)*100</f>
        <v>31.387623100411417</v>
      </c>
      <c r="Q29" s="2">
        <f>(N29/O29)*100</f>
        <v>32.622061024719478</v>
      </c>
      <c r="R29" s="2">
        <f>(P29/100)*(F29/100)</f>
        <v>9.1024106991193096E-4</v>
      </c>
      <c r="S29" s="2">
        <f>(P29/100)*(G29/100)</f>
        <v>1.726319270522628E-2</v>
      </c>
    </row>
    <row r="30" spans="1:19" x14ac:dyDescent="0.25">
      <c r="A30" t="s">
        <v>118</v>
      </c>
      <c r="B30">
        <v>4520000</v>
      </c>
      <c r="C30">
        <v>22.9954</v>
      </c>
      <c r="D30">
        <v>1977660</v>
      </c>
      <c r="E30">
        <v>10.1</v>
      </c>
      <c r="F30" s="1">
        <v>0.28999999999999998</v>
      </c>
      <c r="G30" s="1">
        <v>5.5</v>
      </c>
      <c r="H30">
        <v>6.0081600640605766</v>
      </c>
      <c r="I30">
        <v>588317260.69131505</v>
      </c>
      <c r="J30">
        <v>94.5</v>
      </c>
      <c r="K30">
        <v>26700000</v>
      </c>
      <c r="L30" s="1">
        <v>134.74532629999999</v>
      </c>
      <c r="M30">
        <v>79233989631.080093</v>
      </c>
      <c r="N30">
        <v>94557422789.355515</v>
      </c>
      <c r="O30">
        <v>335533331669.21912</v>
      </c>
      <c r="P30" s="2">
        <f>(M30/O30)*100</f>
        <v>23.614342347719965</v>
      </c>
      <c r="Q30" s="2">
        <f>(N30/O30)*100</f>
        <v>28.181230853861528</v>
      </c>
      <c r="R30" s="2">
        <f>(P30/100)*(F30/100)</f>
        <v>6.8481592808387892E-4</v>
      </c>
      <c r="S30" s="2">
        <f>(P30/100)*(G30/100)</f>
        <v>1.2987888291245982E-2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workbookViewId="0"/>
  </sheetViews>
  <sheetFormatPr baseColWidth="10" defaultColWidth="9.140625" defaultRowHeight="15" x14ac:dyDescent="0.25"/>
  <cols>
    <col min="1" max="1" width="15.85546875" customWidth="1"/>
    <col min="2" max="14" width="50.85546875" customWidth="1"/>
  </cols>
  <sheetData>
    <row r="1" spans="1:14" x14ac:dyDescent="0.25">
      <c r="A1" t="s">
        <v>28</v>
      </c>
      <c r="B1" t="s">
        <v>84</v>
      </c>
      <c r="C1" t="s">
        <v>8</v>
      </c>
      <c r="D1" t="s">
        <v>85</v>
      </c>
      <c r="E1" t="s">
        <v>2</v>
      </c>
      <c r="F1" t="s">
        <v>108</v>
      </c>
      <c r="G1" t="s">
        <v>80</v>
      </c>
      <c r="H1" t="s">
        <v>57</v>
      </c>
      <c r="I1" t="s">
        <v>114</v>
      </c>
      <c r="J1" t="s">
        <v>128</v>
      </c>
      <c r="K1" t="s">
        <v>104</v>
      </c>
      <c r="L1" t="s">
        <v>127</v>
      </c>
      <c r="M1" t="s">
        <v>87</v>
      </c>
      <c r="N1" t="s">
        <v>55</v>
      </c>
    </row>
    <row r="2" spans="1:14" x14ac:dyDescent="0.25">
      <c r="A2" t="s">
        <v>56</v>
      </c>
      <c r="B2" t="s">
        <v>117</v>
      </c>
      <c r="C2" t="s">
        <v>137</v>
      </c>
      <c r="D2" t="s">
        <v>134</v>
      </c>
      <c r="E2" t="s">
        <v>16</v>
      </c>
      <c r="F2" t="s">
        <v>79</v>
      </c>
      <c r="H2" t="s">
        <v>81</v>
      </c>
      <c r="I2" t="s">
        <v>46</v>
      </c>
      <c r="M2" t="s">
        <v>37</v>
      </c>
      <c r="N2" t="s">
        <v>33</v>
      </c>
    </row>
    <row r="3" spans="1:14" x14ac:dyDescent="0.25">
      <c r="A3" t="s">
        <v>21</v>
      </c>
      <c r="B3" t="s">
        <v>117</v>
      </c>
      <c r="C3" t="s">
        <v>105</v>
      </c>
      <c r="D3" t="s">
        <v>134</v>
      </c>
      <c r="E3" t="s">
        <v>16</v>
      </c>
      <c r="F3" t="s">
        <v>79</v>
      </c>
      <c r="H3" t="s">
        <v>81</v>
      </c>
      <c r="I3" t="s">
        <v>113</v>
      </c>
      <c r="J3" t="s">
        <v>23</v>
      </c>
      <c r="K3" t="s">
        <v>126</v>
      </c>
      <c r="L3" t="s">
        <v>41</v>
      </c>
      <c r="M3" t="s">
        <v>37</v>
      </c>
      <c r="N3" t="s">
        <v>33</v>
      </c>
    </row>
    <row r="4" spans="1:14" x14ac:dyDescent="0.25">
      <c r="A4" t="s">
        <v>43</v>
      </c>
      <c r="B4" t="s">
        <v>117</v>
      </c>
      <c r="C4" t="s">
        <v>139</v>
      </c>
      <c r="D4" t="s">
        <v>1</v>
      </c>
      <c r="E4" t="s">
        <v>16</v>
      </c>
      <c r="F4" t="s">
        <v>79</v>
      </c>
      <c r="H4" t="s">
        <v>81</v>
      </c>
      <c r="I4" t="s">
        <v>46</v>
      </c>
      <c r="J4" t="s">
        <v>71</v>
      </c>
      <c r="K4" t="s">
        <v>138</v>
      </c>
      <c r="L4" t="s">
        <v>123</v>
      </c>
      <c r="M4" t="s">
        <v>37</v>
      </c>
      <c r="N4" t="s">
        <v>33</v>
      </c>
    </row>
    <row r="5" spans="1:14" x14ac:dyDescent="0.25">
      <c r="A5" t="s">
        <v>90</v>
      </c>
      <c r="B5" t="s">
        <v>117</v>
      </c>
      <c r="C5" t="s">
        <v>106</v>
      </c>
      <c r="D5" t="s">
        <v>1</v>
      </c>
      <c r="E5" t="s">
        <v>16</v>
      </c>
      <c r="F5" t="s">
        <v>79</v>
      </c>
      <c r="H5" t="s">
        <v>81</v>
      </c>
      <c r="I5" t="s">
        <v>113</v>
      </c>
      <c r="J5" t="s">
        <v>131</v>
      </c>
      <c r="K5" t="s">
        <v>138</v>
      </c>
      <c r="L5" t="s">
        <v>123</v>
      </c>
      <c r="M5" t="s">
        <v>37</v>
      </c>
      <c r="N5" t="s">
        <v>33</v>
      </c>
    </row>
    <row r="6" spans="1:14" x14ac:dyDescent="0.25">
      <c r="A6" t="s">
        <v>11</v>
      </c>
      <c r="B6" t="s">
        <v>117</v>
      </c>
      <c r="C6" t="s">
        <v>66</v>
      </c>
      <c r="D6" t="s">
        <v>50</v>
      </c>
      <c r="E6" t="s">
        <v>22</v>
      </c>
      <c r="F6" t="s">
        <v>79</v>
      </c>
      <c r="H6" t="s">
        <v>81</v>
      </c>
      <c r="I6" t="s">
        <v>113</v>
      </c>
      <c r="J6" t="s">
        <v>47</v>
      </c>
      <c r="K6" t="s">
        <v>30</v>
      </c>
      <c r="L6" t="s">
        <v>129</v>
      </c>
      <c r="N6" t="s">
        <v>33</v>
      </c>
    </row>
    <row r="7" spans="1:14" x14ac:dyDescent="0.25">
      <c r="A7" t="s">
        <v>19</v>
      </c>
      <c r="B7" t="s">
        <v>117</v>
      </c>
      <c r="C7" t="s">
        <v>15</v>
      </c>
      <c r="D7" t="s">
        <v>32</v>
      </c>
      <c r="E7" t="s">
        <v>22</v>
      </c>
      <c r="F7" t="s">
        <v>79</v>
      </c>
      <c r="H7" t="s">
        <v>81</v>
      </c>
      <c r="I7" t="s">
        <v>113</v>
      </c>
      <c r="J7" t="s">
        <v>115</v>
      </c>
      <c r="K7" t="s">
        <v>30</v>
      </c>
      <c r="L7" t="s">
        <v>129</v>
      </c>
      <c r="N7" t="s">
        <v>33</v>
      </c>
    </row>
    <row r="8" spans="1:14" x14ac:dyDescent="0.25">
      <c r="A8" t="s">
        <v>75</v>
      </c>
      <c r="B8" t="s">
        <v>117</v>
      </c>
      <c r="C8" t="s">
        <v>52</v>
      </c>
      <c r="D8" t="s">
        <v>133</v>
      </c>
      <c r="E8" t="s">
        <v>42</v>
      </c>
      <c r="F8" t="s">
        <v>79</v>
      </c>
      <c r="H8" t="s">
        <v>81</v>
      </c>
      <c r="I8" t="s">
        <v>113</v>
      </c>
      <c r="J8" t="s">
        <v>98</v>
      </c>
      <c r="K8" t="s">
        <v>93</v>
      </c>
      <c r="L8" t="s">
        <v>65</v>
      </c>
      <c r="M8" t="s">
        <v>58</v>
      </c>
      <c r="N8" t="s">
        <v>33</v>
      </c>
    </row>
    <row r="9" spans="1:14" x14ac:dyDescent="0.25">
      <c r="A9" t="s">
        <v>110</v>
      </c>
      <c r="B9" t="s">
        <v>117</v>
      </c>
      <c r="C9" t="s">
        <v>6</v>
      </c>
      <c r="D9" t="s">
        <v>54</v>
      </c>
      <c r="E9" t="s">
        <v>42</v>
      </c>
      <c r="F9" t="s">
        <v>79</v>
      </c>
      <c r="H9" t="s">
        <v>81</v>
      </c>
      <c r="I9" t="s">
        <v>46</v>
      </c>
      <c r="M9" t="s">
        <v>58</v>
      </c>
      <c r="N9" t="s">
        <v>33</v>
      </c>
    </row>
    <row r="10" spans="1:14" x14ac:dyDescent="0.25">
      <c r="A10" t="s">
        <v>29</v>
      </c>
      <c r="B10" t="s">
        <v>117</v>
      </c>
      <c r="C10" t="s">
        <v>45</v>
      </c>
      <c r="D10" t="s">
        <v>27</v>
      </c>
      <c r="E10" t="s">
        <v>16</v>
      </c>
      <c r="F10" t="s">
        <v>79</v>
      </c>
      <c r="H10" t="s">
        <v>81</v>
      </c>
      <c r="I10" t="s">
        <v>113</v>
      </c>
      <c r="J10" t="s">
        <v>111</v>
      </c>
      <c r="K10" t="s">
        <v>4</v>
      </c>
      <c r="L10" t="s">
        <v>107</v>
      </c>
      <c r="M10" t="s">
        <v>37</v>
      </c>
      <c r="N10" t="s">
        <v>33</v>
      </c>
    </row>
    <row r="11" spans="1:14" x14ac:dyDescent="0.25">
      <c r="A11" t="s">
        <v>94</v>
      </c>
      <c r="B11" t="s">
        <v>51</v>
      </c>
      <c r="C11" t="s">
        <v>102</v>
      </c>
      <c r="D11" t="s">
        <v>25</v>
      </c>
      <c r="E11" t="s">
        <v>16</v>
      </c>
      <c r="F11" t="s">
        <v>79</v>
      </c>
      <c r="G11" t="s">
        <v>68</v>
      </c>
      <c r="H11" t="s">
        <v>81</v>
      </c>
      <c r="I11" t="s">
        <v>113</v>
      </c>
      <c r="J11" t="s">
        <v>111</v>
      </c>
      <c r="K11" t="s">
        <v>4</v>
      </c>
      <c r="L11" t="s">
        <v>107</v>
      </c>
      <c r="M11" t="s">
        <v>37</v>
      </c>
      <c r="N11" t="s">
        <v>60</v>
      </c>
    </row>
    <row r="12" spans="1:14" x14ac:dyDescent="0.25">
      <c r="A12" t="s">
        <v>135</v>
      </c>
      <c r="B12" t="s">
        <v>51</v>
      </c>
      <c r="C12" t="s">
        <v>78</v>
      </c>
      <c r="D12" t="s">
        <v>18</v>
      </c>
      <c r="E12" t="s">
        <v>16</v>
      </c>
      <c r="F12" t="s">
        <v>79</v>
      </c>
      <c r="G12" t="s">
        <v>68</v>
      </c>
      <c r="H12" t="s">
        <v>81</v>
      </c>
      <c r="I12" t="s">
        <v>113</v>
      </c>
      <c r="J12" t="s">
        <v>111</v>
      </c>
      <c r="K12" t="s">
        <v>4</v>
      </c>
      <c r="L12" t="s">
        <v>107</v>
      </c>
      <c r="M12" t="s">
        <v>37</v>
      </c>
      <c r="N12" t="s">
        <v>60</v>
      </c>
    </row>
    <row r="13" spans="1:14" x14ac:dyDescent="0.25">
      <c r="A13" t="s">
        <v>34</v>
      </c>
      <c r="B13" t="s">
        <v>117</v>
      </c>
      <c r="C13" t="s">
        <v>122</v>
      </c>
      <c r="D13" t="s">
        <v>61</v>
      </c>
      <c r="E13" t="s">
        <v>16</v>
      </c>
      <c r="F13" t="s">
        <v>79</v>
      </c>
      <c r="H13" t="s">
        <v>81</v>
      </c>
      <c r="I13" t="s">
        <v>46</v>
      </c>
      <c r="J13" t="s">
        <v>91</v>
      </c>
      <c r="K13" t="s">
        <v>130</v>
      </c>
      <c r="L13" t="s">
        <v>77</v>
      </c>
      <c r="M13" t="s">
        <v>37</v>
      </c>
      <c r="N13" t="s">
        <v>33</v>
      </c>
    </row>
    <row r="14" spans="1:14" x14ac:dyDescent="0.25">
      <c r="A14" t="s">
        <v>36</v>
      </c>
      <c r="B14" t="s">
        <v>117</v>
      </c>
      <c r="C14" t="s">
        <v>119</v>
      </c>
      <c r="D14" t="s">
        <v>61</v>
      </c>
      <c r="E14" t="s">
        <v>16</v>
      </c>
      <c r="F14" t="s">
        <v>79</v>
      </c>
      <c r="H14" t="s">
        <v>81</v>
      </c>
      <c r="I14" t="s">
        <v>113</v>
      </c>
      <c r="J14" t="s">
        <v>83</v>
      </c>
      <c r="K14" t="s">
        <v>130</v>
      </c>
      <c r="L14" t="s">
        <v>77</v>
      </c>
      <c r="M14" t="s">
        <v>37</v>
      </c>
      <c r="N14" t="s">
        <v>33</v>
      </c>
    </row>
    <row r="15" spans="1:14" x14ac:dyDescent="0.25">
      <c r="A15" t="s">
        <v>40</v>
      </c>
      <c r="B15" t="s">
        <v>117</v>
      </c>
      <c r="C15" t="s">
        <v>72</v>
      </c>
      <c r="D15" t="s">
        <v>17</v>
      </c>
      <c r="E15" t="s">
        <v>76</v>
      </c>
      <c r="F15" t="s">
        <v>79</v>
      </c>
      <c r="H15" t="s">
        <v>81</v>
      </c>
      <c r="I15" t="s">
        <v>46</v>
      </c>
      <c r="J15" t="s">
        <v>70</v>
      </c>
      <c r="K15" t="s">
        <v>88</v>
      </c>
      <c r="N15" t="s">
        <v>33</v>
      </c>
    </row>
    <row r="16" spans="1:14" x14ac:dyDescent="0.25">
      <c r="A16" t="s">
        <v>112</v>
      </c>
      <c r="B16" t="s">
        <v>117</v>
      </c>
      <c r="C16" t="s">
        <v>62</v>
      </c>
      <c r="D16" t="s">
        <v>17</v>
      </c>
      <c r="E16" t="s">
        <v>132</v>
      </c>
      <c r="F16" t="s">
        <v>79</v>
      </c>
      <c r="H16" t="s">
        <v>81</v>
      </c>
      <c r="I16" t="s">
        <v>113</v>
      </c>
      <c r="J16" t="s">
        <v>70</v>
      </c>
      <c r="K16" t="s">
        <v>88</v>
      </c>
      <c r="N16" t="s">
        <v>33</v>
      </c>
    </row>
    <row r="17" spans="1:14" x14ac:dyDescent="0.25">
      <c r="A17" t="s">
        <v>0</v>
      </c>
      <c r="B17" t="s">
        <v>117</v>
      </c>
      <c r="C17" t="s">
        <v>73</v>
      </c>
      <c r="D17" t="s">
        <v>95</v>
      </c>
      <c r="E17" t="s">
        <v>42</v>
      </c>
      <c r="F17" t="s">
        <v>92</v>
      </c>
      <c r="H17" t="s">
        <v>81</v>
      </c>
      <c r="I17" t="s">
        <v>13</v>
      </c>
      <c r="M17" t="s">
        <v>58</v>
      </c>
      <c r="N17" t="s">
        <v>33</v>
      </c>
    </row>
    <row r="18" spans="1:14" x14ac:dyDescent="0.25">
      <c r="A18" t="s">
        <v>89</v>
      </c>
      <c r="B18" t="s">
        <v>117</v>
      </c>
      <c r="C18" t="s">
        <v>67</v>
      </c>
      <c r="D18" t="s">
        <v>74</v>
      </c>
      <c r="E18" t="s">
        <v>42</v>
      </c>
      <c r="F18" t="s">
        <v>92</v>
      </c>
      <c r="H18" t="s">
        <v>81</v>
      </c>
      <c r="I18" t="s">
        <v>13</v>
      </c>
      <c r="M18" t="s">
        <v>49</v>
      </c>
      <c r="N18" t="s">
        <v>33</v>
      </c>
    </row>
    <row r="19" spans="1:14" x14ac:dyDescent="0.25">
      <c r="A19" t="s">
        <v>86</v>
      </c>
      <c r="B19" t="s">
        <v>117</v>
      </c>
      <c r="C19" t="s">
        <v>20</v>
      </c>
      <c r="D19" t="s">
        <v>24</v>
      </c>
      <c r="E19" t="s">
        <v>124</v>
      </c>
      <c r="F19" t="s">
        <v>3</v>
      </c>
      <c r="H19" t="s">
        <v>81</v>
      </c>
      <c r="I19" t="s">
        <v>13</v>
      </c>
      <c r="J19" t="s">
        <v>9</v>
      </c>
      <c r="L19" t="s">
        <v>48</v>
      </c>
      <c r="N1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Delgado</dc:creator>
  <cp:lastModifiedBy>Bruno Delgado Antonucci</cp:lastModifiedBy>
  <dcterms:created xsi:type="dcterms:W3CDTF">2025-04-15T23:33:56Z</dcterms:created>
  <dcterms:modified xsi:type="dcterms:W3CDTF">2025-04-15T23:33:56Z</dcterms:modified>
</cp:coreProperties>
</file>